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sburger Q2 Report" sheetId="1" r:id="rId4"/>
  </sheets>
  <definedNames/>
  <calcPr/>
  <extLst>
    <ext uri="GoogleSheetsCustomDataVersion2">
      <go:sheetsCustomData xmlns:go="http://customooxmlschemas.google.com/" r:id="rId5" roundtripDataChecksum="9iJFb7i4JRDwziBwlACVWXMMKOt+KR7S5fZAmyE6iVA="/>
    </ext>
  </extLst>
</workbook>
</file>

<file path=xl/sharedStrings.xml><?xml version="1.0" encoding="utf-8"?>
<sst xmlns="http://schemas.openxmlformats.org/spreadsheetml/2006/main" count="31" uniqueCount="31">
  <si>
    <t>Metric</t>
  </si>
  <si>
    <t>Q2 2025</t>
  </si>
  <si>
    <t>Q1 2026</t>
  </si>
  <si>
    <t>Q2 2026</t>
  </si>
  <si>
    <t>YoY Δ (abs)</t>
  </si>
  <si>
    <t>YoY Δ (%)</t>
  </si>
  <si>
    <t>QoQ Δ (abs)</t>
  </si>
  <si>
    <t>QoQ Δ (%)</t>
  </si>
  <si>
    <t>SALES</t>
  </si>
  <si>
    <t>Sales Before Discounts (€)</t>
  </si>
  <si>
    <t>Sales After Discounts (€)</t>
  </si>
  <si>
    <t>Completed Orders (#)</t>
  </si>
  <si>
    <t>MARKETING SPEND (Hesburger investment only — excl. Bolt co-funding)</t>
  </si>
  <si>
    <t>Marketing Spend (€)</t>
  </si>
  <si>
    <t>DELIVERY TIMES</t>
  </si>
  <si>
    <t>Avg. Total Delivery Time (mins)</t>
  </si>
  <si>
    <t>Avg. Restaurant Prep Time (mins)</t>
  </si>
  <si>
    <t>ORDER QUALITY — Customer Tickets</t>
  </si>
  <si>
    <t>Wrong &amp; Missing Items (#)</t>
  </si>
  <si>
    <t>Wrong &amp; Missing Items (% of customer tickets)</t>
  </si>
  <si>
    <t>Drink Spills (#)</t>
  </si>
  <si>
    <t>Drink Spills (% of customer tickets)</t>
  </si>
  <si>
    <t>AVAILABILITY &amp; RATING</t>
  </si>
  <si>
    <t>Availability (%)</t>
  </si>
  <si>
    <t>Avg. Rating (0–5)</t>
  </si>
  <si>
    <t>Review Count (#)</t>
  </si>
  <si>
    <t>MENU &amp; CONVERSION</t>
  </si>
  <si>
    <t>Impression Sessions (#)</t>
  </si>
  <si>
    <t>Menu Views (#)</t>
  </si>
  <si>
    <t>Impression → Menu View Conversion (%)</t>
  </si>
  <si>
    <t>Menu View → Purchase Conversion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</si>
</sst>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"/>
    <numFmt numFmtId="166" formatCode="0.00&quot;%&quot;"/>
    <numFmt numFmtId="167" formatCode="0.0&quot;%&quot;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rgb="FF0C2C1C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</font>
    <font>
      <i/>
      <sz val="9.0"/>
      <color rgb="FF6B728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C2C1C"/>
        <bgColor rgb="FF0C2C1C"/>
      </patternFill>
    </fill>
    <fill>
      <patternFill patternType="solid">
        <fgColor rgb="FFE7EFEA"/>
        <bgColor rgb="FFE7EFE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center"/>
    </xf>
    <xf borderId="1" fillId="3" fontId="2" numFmtId="0" xfId="0" applyBorder="1" applyFill="1" applyFont="1"/>
    <xf borderId="1" fillId="3" fontId="3" numFmtId="0" xfId="0" applyBorder="1" applyFont="1"/>
    <xf borderId="0" fillId="0" fontId="4" numFmtId="0" xfId="0" applyFont="1"/>
    <xf borderId="0" fillId="0" fontId="3" numFmtId="3" xfId="0" applyFont="1" applyNumberFormat="1"/>
    <xf borderId="0" fillId="0" fontId="3" numFmtId="164" xfId="0" applyFont="1" applyNumberFormat="1"/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166" xfId="0" applyFont="1" applyNumberFormat="1"/>
    <xf borderId="0" fillId="0" fontId="5" numFmtId="0" xfId="0" applyAlignment="1" applyFont="1">
      <alignment horizontal="right" readingOrder="0"/>
    </xf>
    <xf borderId="0" fillId="0" fontId="5" numFmtId="10" xfId="0" applyAlignment="1" applyFont="1" applyNumberFormat="1">
      <alignment horizontal="right" readingOrder="0"/>
    </xf>
    <xf borderId="0" fillId="0" fontId="3" numFmtId="167" xfId="0" applyFont="1" applyNumberFormat="1"/>
    <xf borderId="0" fillId="0" fontId="3" numFmtId="2" xfId="0" applyFont="1" applyNumberFormat="1"/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6.0"/>
    <col customWidth="1" min="2" max="5" width="12.0"/>
    <col customWidth="1" min="6" max="6" width="11.0"/>
    <col customWidth="1" min="7" max="7" width="12.0"/>
    <col customWidth="1" min="8" max="8" width="11.0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/>
      <c r="C2" s="4"/>
      <c r="D2" s="4"/>
      <c r="E2" s="4"/>
      <c r="F2" s="4"/>
      <c r="G2" s="4"/>
      <c r="H2" s="4"/>
    </row>
    <row r="3">
      <c r="A3" s="5" t="s">
        <v>9</v>
      </c>
      <c r="B3" s="6">
        <v>33545.37</v>
      </c>
      <c r="C3" s="6">
        <v>27562.81</v>
      </c>
      <c r="D3" s="6">
        <v>41317.16</v>
      </c>
      <c r="E3" s="6">
        <f t="shared" ref="E3:E5" si="1">D3-B3</f>
        <v>7771.79</v>
      </c>
      <c r="F3" s="7">
        <f t="shared" ref="F3:F5" si="2">IF(B3=0,"",(D3-B3)/B3)</f>
        <v>0.2316799606</v>
      </c>
      <c r="G3" s="6">
        <f t="shared" ref="G3:G5" si="3">D3-C3</f>
        <v>13754.35</v>
      </c>
      <c r="H3" s="7">
        <f t="shared" ref="H3:H5" si="4">IF(C3=0,"",(D3-C3)/C3)</f>
        <v>0.4990184237</v>
      </c>
    </row>
    <row r="4">
      <c r="A4" s="5" t="s">
        <v>10</v>
      </c>
      <c r="B4" s="6">
        <v>28537.7</v>
      </c>
      <c r="C4" s="6">
        <v>24694.82</v>
      </c>
      <c r="D4" s="6">
        <v>36698.97</v>
      </c>
      <c r="E4" s="6">
        <f t="shared" si="1"/>
        <v>8161.27</v>
      </c>
      <c r="F4" s="7">
        <f t="shared" si="2"/>
        <v>0.2859820518</v>
      </c>
      <c r="G4" s="6">
        <f t="shared" si="3"/>
        <v>12004.15</v>
      </c>
      <c r="H4" s="7">
        <f t="shared" si="4"/>
        <v>0.4860999189</v>
      </c>
    </row>
    <row r="5">
      <c r="A5" s="5" t="s">
        <v>11</v>
      </c>
      <c r="B5" s="6">
        <v>2897.0</v>
      </c>
      <c r="C5" s="6">
        <v>2125.0</v>
      </c>
      <c r="D5" s="6">
        <v>3166.0</v>
      </c>
      <c r="E5" s="6">
        <f t="shared" si="1"/>
        <v>269</v>
      </c>
      <c r="F5" s="7">
        <f t="shared" si="2"/>
        <v>0.09285467725</v>
      </c>
      <c r="G5" s="6">
        <f t="shared" si="3"/>
        <v>1041</v>
      </c>
      <c r="H5" s="7">
        <f t="shared" si="4"/>
        <v>0.4898823529</v>
      </c>
    </row>
    <row r="6">
      <c r="A6" s="3" t="s">
        <v>12</v>
      </c>
      <c r="B6" s="4"/>
      <c r="C6" s="4"/>
      <c r="D6" s="4"/>
      <c r="E6" s="4"/>
      <c r="F6" s="4"/>
      <c r="G6" s="4"/>
      <c r="H6" s="4"/>
    </row>
    <row r="7">
      <c r="A7" s="5" t="s">
        <v>13</v>
      </c>
      <c r="B7" s="8">
        <v>1211.0</v>
      </c>
      <c r="C7" s="8">
        <v>1163.0</v>
      </c>
      <c r="D7" s="8">
        <v>1321.0</v>
      </c>
      <c r="E7" s="6">
        <f>D7-B7</f>
        <v>110</v>
      </c>
      <c r="F7" s="7">
        <f>IF(B7=0,"",(D7-B7)/B7)</f>
        <v>0.09083402147</v>
      </c>
      <c r="G7" s="6">
        <f>D7-C7</f>
        <v>158</v>
      </c>
      <c r="H7" s="7">
        <f>IF(C7=0,"",(D7-C7)/C7)</f>
        <v>0.135855546</v>
      </c>
    </row>
    <row r="8">
      <c r="A8" s="3" t="s">
        <v>14</v>
      </c>
      <c r="B8" s="4"/>
      <c r="C8" s="4"/>
      <c r="D8" s="4"/>
      <c r="E8" s="4"/>
      <c r="F8" s="4"/>
      <c r="G8" s="4"/>
      <c r="H8" s="4"/>
    </row>
    <row r="9">
      <c r="A9" s="5" t="s">
        <v>15</v>
      </c>
      <c r="B9" s="9">
        <v>28.1</v>
      </c>
      <c r="C9" s="9">
        <v>32.2</v>
      </c>
      <c r="D9" s="9">
        <v>28.3</v>
      </c>
      <c r="E9" s="9">
        <f t="shared" ref="E9:E10" si="5">D9-B9</f>
        <v>0.2</v>
      </c>
      <c r="F9" s="7">
        <f t="shared" ref="F9:F10" si="6">IF(B9=0,"",(D9-B9)/B9)</f>
        <v>0.007117437722</v>
      </c>
      <c r="G9" s="9">
        <f t="shared" ref="G9:G10" si="7">D9-C9</f>
        <v>-3.9</v>
      </c>
      <c r="H9" s="7">
        <f t="shared" ref="H9:H10" si="8">IF(C9=0,"",(D9-C9)/C9)</f>
        <v>-0.1211180124</v>
      </c>
    </row>
    <row r="10">
      <c r="A10" s="5" t="s">
        <v>16</v>
      </c>
      <c r="B10" s="9">
        <v>9.3</v>
      </c>
      <c r="C10" s="9">
        <v>10.0</v>
      </c>
      <c r="D10" s="9">
        <v>10.1</v>
      </c>
      <c r="E10" s="9">
        <f t="shared" si="5"/>
        <v>0.8</v>
      </c>
      <c r="F10" s="7">
        <f t="shared" si="6"/>
        <v>0.08602150538</v>
      </c>
      <c r="G10" s="9">
        <f t="shared" si="7"/>
        <v>0.1</v>
      </c>
      <c r="H10" s="7">
        <f t="shared" si="8"/>
        <v>0.01</v>
      </c>
    </row>
    <row r="11">
      <c r="A11" s="3" t="s">
        <v>17</v>
      </c>
      <c r="B11" s="4"/>
      <c r="C11" s="4"/>
      <c r="D11" s="4"/>
      <c r="E11" s="4"/>
      <c r="F11" s="4"/>
      <c r="G11" s="4"/>
      <c r="H11" s="4"/>
    </row>
    <row r="12">
      <c r="A12" s="5" t="s">
        <v>18</v>
      </c>
      <c r="B12" s="6">
        <v>52.0</v>
      </c>
      <c r="C12" s="6">
        <v>38.0</v>
      </c>
      <c r="D12" s="6">
        <v>38.0</v>
      </c>
      <c r="E12" s="6">
        <f t="shared" ref="E12:E15" si="9">D12-B12</f>
        <v>-14</v>
      </c>
      <c r="F12" s="7">
        <f t="shared" ref="F12:F15" si="10">IF(B12=0,"",(D12-B12)/B12)</f>
        <v>-0.2692307692</v>
      </c>
      <c r="G12" s="6">
        <f t="shared" ref="G12:G15" si="11">D12-C12</f>
        <v>0</v>
      </c>
      <c r="H12" s="7">
        <f t="shared" ref="H12:H15" si="12">IF(C12=0,"",(D12-C12)/C12)</f>
        <v>0</v>
      </c>
    </row>
    <row r="13">
      <c r="A13" s="5" t="s">
        <v>19</v>
      </c>
      <c r="B13" s="10">
        <v>65.82</v>
      </c>
      <c r="C13" s="10">
        <v>65.52</v>
      </c>
      <c r="D13" s="10">
        <v>66.67</v>
      </c>
      <c r="E13" s="10">
        <f t="shared" si="9"/>
        <v>0.85</v>
      </c>
      <c r="F13" s="7">
        <f t="shared" si="10"/>
        <v>0.0129140079</v>
      </c>
      <c r="G13" s="10">
        <f t="shared" si="11"/>
        <v>1.15</v>
      </c>
      <c r="H13" s="7">
        <f t="shared" si="12"/>
        <v>0.01755189255</v>
      </c>
    </row>
    <row r="14">
      <c r="A14" s="5" t="s">
        <v>20</v>
      </c>
      <c r="B14" s="11">
        <v>3.0</v>
      </c>
      <c r="C14" s="11">
        <v>3.0</v>
      </c>
      <c r="D14" s="11">
        <v>0.0</v>
      </c>
      <c r="E14" s="6">
        <f t="shared" si="9"/>
        <v>-3</v>
      </c>
      <c r="F14" s="7">
        <f t="shared" si="10"/>
        <v>-1</v>
      </c>
      <c r="G14" s="6">
        <f t="shared" si="11"/>
        <v>-3</v>
      </c>
      <c r="H14" s="7">
        <f t="shared" si="12"/>
        <v>-1</v>
      </c>
    </row>
    <row r="15">
      <c r="A15" s="5" t="s">
        <v>21</v>
      </c>
      <c r="B15" s="12">
        <v>0.073</v>
      </c>
      <c r="C15" s="12">
        <v>0.097</v>
      </c>
      <c r="D15" s="12">
        <v>0.0</v>
      </c>
      <c r="E15" s="10">
        <f t="shared" si="9"/>
        <v>-0.073</v>
      </c>
      <c r="F15" s="7">
        <f t="shared" si="10"/>
        <v>-1</v>
      </c>
      <c r="G15" s="10">
        <f t="shared" si="11"/>
        <v>-0.097</v>
      </c>
      <c r="H15" s="7">
        <f t="shared" si="12"/>
        <v>-1</v>
      </c>
    </row>
    <row r="16">
      <c r="A16" s="3" t="s">
        <v>22</v>
      </c>
      <c r="B16" s="4"/>
      <c r="C16" s="4"/>
      <c r="D16" s="4"/>
      <c r="E16" s="4"/>
      <c r="F16" s="4"/>
      <c r="G16" s="4"/>
      <c r="H16" s="4"/>
    </row>
    <row r="17">
      <c r="A17" s="5" t="s">
        <v>23</v>
      </c>
      <c r="B17" s="13">
        <v>89.6</v>
      </c>
      <c r="C17" s="13">
        <v>75.0</v>
      </c>
      <c r="D17" s="13">
        <v>89.4</v>
      </c>
      <c r="E17" s="13">
        <f t="shared" ref="E17:E19" si="13">D17-B17</f>
        <v>-0.2</v>
      </c>
      <c r="F17" s="7">
        <f t="shared" ref="F17:F19" si="14">IF(B17=0,"",(D17-B17)/B17)</f>
        <v>-0.002232142857</v>
      </c>
      <c r="G17" s="13">
        <f t="shared" ref="G17:G19" si="15">D17-C17</f>
        <v>14.4</v>
      </c>
      <c r="H17" s="7">
        <f t="shared" ref="H17:H19" si="16">IF(C17=0,"",(D17-C17)/C17)</f>
        <v>0.192</v>
      </c>
    </row>
    <row r="18">
      <c r="A18" s="5" t="s">
        <v>24</v>
      </c>
      <c r="B18" s="14">
        <v>4.56</v>
      </c>
      <c r="C18" s="14">
        <v>4.57</v>
      </c>
      <c r="D18" s="14">
        <v>4.7</v>
      </c>
      <c r="E18" s="14">
        <f t="shared" si="13"/>
        <v>0.14</v>
      </c>
      <c r="F18" s="7">
        <f t="shared" si="14"/>
        <v>0.03070175439</v>
      </c>
      <c r="G18" s="14">
        <f t="shared" si="15"/>
        <v>0.13</v>
      </c>
      <c r="H18" s="7">
        <f t="shared" si="16"/>
        <v>0.0284463895</v>
      </c>
    </row>
    <row r="19">
      <c r="A19" s="5" t="s">
        <v>25</v>
      </c>
      <c r="B19" s="6">
        <v>954.0</v>
      </c>
      <c r="C19" s="6">
        <v>622.0</v>
      </c>
      <c r="D19" s="6">
        <v>956.0</v>
      </c>
      <c r="E19" s="6">
        <f t="shared" si="13"/>
        <v>2</v>
      </c>
      <c r="F19" s="7">
        <f t="shared" si="14"/>
        <v>0.002096436059</v>
      </c>
      <c r="G19" s="6">
        <f t="shared" si="15"/>
        <v>334</v>
      </c>
      <c r="H19" s="7">
        <f t="shared" si="16"/>
        <v>0.536977492</v>
      </c>
    </row>
    <row r="20">
      <c r="A20" s="3" t="s">
        <v>26</v>
      </c>
      <c r="B20" s="4"/>
      <c r="C20" s="4"/>
      <c r="D20" s="4"/>
      <c r="E20" s="4"/>
      <c r="F20" s="4"/>
      <c r="G20" s="4"/>
      <c r="H20" s="4"/>
    </row>
    <row r="21" ht="15.75" customHeight="1">
      <c r="A21" s="5" t="s">
        <v>27</v>
      </c>
      <c r="B21" s="6">
        <v>98267.0</v>
      </c>
      <c r="C21" s="6">
        <v>73187.0</v>
      </c>
      <c r="D21" s="6">
        <v>124386.0</v>
      </c>
      <c r="E21" s="6">
        <f t="shared" ref="E21:E24" si="17">D21-B21</f>
        <v>26119</v>
      </c>
      <c r="F21" s="7">
        <f t="shared" ref="F21:F24" si="18">IF(B21=0,"",(D21-B21)/B21)</f>
        <v>0.265796249</v>
      </c>
      <c r="G21" s="6">
        <f t="shared" ref="G21:G24" si="19">D21-C21</f>
        <v>51199</v>
      </c>
      <c r="H21" s="7">
        <f t="shared" ref="H21:H24" si="20">IF(C21=0,"",(D21-C21)/C21)</f>
        <v>0.6995641302</v>
      </c>
    </row>
    <row r="22" ht="15.75" customHeight="1">
      <c r="A22" s="5" t="s">
        <v>28</v>
      </c>
      <c r="B22" s="6">
        <v>15501.0</v>
      </c>
      <c r="C22" s="6">
        <v>10703.0</v>
      </c>
      <c r="D22" s="6">
        <v>14162.0</v>
      </c>
      <c r="E22" s="6">
        <f t="shared" si="17"/>
        <v>-1339</v>
      </c>
      <c r="F22" s="7">
        <f t="shared" si="18"/>
        <v>-0.08638152377</v>
      </c>
      <c r="G22" s="6">
        <f t="shared" si="19"/>
        <v>3459</v>
      </c>
      <c r="H22" s="7">
        <f t="shared" si="20"/>
        <v>0.3231804167</v>
      </c>
    </row>
    <row r="23" ht="15.75" customHeight="1">
      <c r="A23" s="5" t="s">
        <v>29</v>
      </c>
      <c r="B23" s="10">
        <v>15.77</v>
      </c>
      <c r="C23" s="10">
        <v>14.62</v>
      </c>
      <c r="D23" s="10">
        <v>11.39</v>
      </c>
      <c r="E23" s="10">
        <f t="shared" si="17"/>
        <v>-4.38</v>
      </c>
      <c r="F23" s="7">
        <f t="shared" si="18"/>
        <v>-0.2777425491</v>
      </c>
      <c r="G23" s="10">
        <f t="shared" si="19"/>
        <v>-3.23</v>
      </c>
      <c r="H23" s="7">
        <f t="shared" si="20"/>
        <v>-0.2209302326</v>
      </c>
    </row>
    <row r="24" ht="15.75" customHeight="1">
      <c r="A24" s="5" t="s">
        <v>30</v>
      </c>
      <c r="B24" s="10">
        <v>17.37</v>
      </c>
      <c r="C24" s="10">
        <v>19.92</v>
      </c>
      <c r="D24" s="10">
        <v>20.96</v>
      </c>
      <c r="E24" s="10">
        <f t="shared" si="17"/>
        <v>3.59</v>
      </c>
      <c r="F24" s="7">
        <f t="shared" si="18"/>
        <v>0.2066781808</v>
      </c>
      <c r="G24" s="10">
        <f t="shared" si="19"/>
        <v>1.04</v>
      </c>
      <c r="H24" s="7">
        <f t="shared" si="20"/>
        <v>0.05220883534</v>
      </c>
    </row>
    <row r="25" ht="15.75" customHeight="1"/>
    <row r="26" ht="30.0" customHeight="1">
      <c r="A26" s="1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6:H2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2026-07-21T12:27:59Z</dcterms:created>
  <dc:creator>openpyxl</dc:creator>
</cp:coreProperties>
</file>