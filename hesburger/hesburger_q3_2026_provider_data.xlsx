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sburger Q3 Report" sheetId="1" state="visible" r:id="rId1"/>
    <sheet xmlns:r="http://schemas.openxmlformats.org/officeDocument/2006/relationships" name="Drink Spill Reviews" sheetId="2" state="visible" r:id="rId2"/>
    <sheet xmlns:r="http://schemas.openxmlformats.org/officeDocument/2006/relationships" name="Providers" sheetId="3" state="visible" r:id="rId3"/>
  </sheets>
  <definedNames>
    <definedName name="_xlnm._FilterDatabase" localSheetId="0" hidden="1">'Hesburger Q3 Report'!$A$1:$H$24</definedName>
    <definedName name="_xlnm._FilterDatabase" localSheetId="1" hidden="1">'Drink Spill Reviews'!$A$1:$H$11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name val="Inter"/>
      <b val="1"/>
      <color rgb="00FFFFFF"/>
    </font>
    <font>
      <name val="Inter"/>
      <b val="1"/>
      <color rgb="000C2C1C"/>
    </font>
    <font>
      <name val="Inter"/>
      <color rgb="00191F1C"/>
    </font>
    <font>
      <name val="Inter"/>
      <i val="1"/>
      <color rgb="005F6563"/>
      <sz val="9"/>
    </font>
  </fonts>
  <fills count="4">
    <fill>
      <patternFill/>
    </fill>
    <fill>
      <patternFill patternType="gray125"/>
    </fill>
    <fill>
      <patternFill patternType="solid">
        <fgColor rgb="000C2C1C"/>
      </patternFill>
    </fill>
    <fill>
      <patternFill patternType="solid">
        <fgColor rgb="00E7E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2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AF8F0"/>
        </patternFill>
      </fill>
    </dxf>
    <dxf>
      <fill>
        <patternFill patternType="solid">
          <fgColor rgb="00FCEB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2" customWidth="1" min="6" max="6"/>
    <col width="13" customWidth="1" min="7" max="7"/>
    <col width="12" customWidth="1" min="8" max="8"/>
  </cols>
  <sheetData>
    <row r="1" ht="28" customHeight="1">
      <c r="A1" s="1" t="inlineStr">
        <is>
          <t>Metric</t>
        </is>
      </c>
      <c r="B1" s="2" t="inlineStr">
        <is>
          <t>Q3 2025</t>
        </is>
      </c>
      <c r="C1" s="2" t="inlineStr">
        <is>
          <t>Q2 2026</t>
        </is>
      </c>
      <c r="D1" s="2" t="inlineStr">
        <is>
          <t>Q3 2026</t>
        </is>
      </c>
      <c r="E1" s="2" t="inlineStr">
        <is>
          <t>YoY Δ (abs)</t>
        </is>
      </c>
      <c r="F1" s="2" t="inlineStr">
        <is>
          <t>YoY Δ (%)</t>
        </is>
      </c>
      <c r="G1" s="2" t="inlineStr">
        <is>
          <t>QoQ Δ (abs)</t>
        </is>
      </c>
      <c r="H1" s="2" t="inlineStr">
        <is>
          <t>QoQ Δ (%)</t>
        </is>
      </c>
    </row>
    <row r="2" ht="24" customHeight="1">
      <c r="A2" s="3" t="inlineStr">
        <is>
          <t>SALES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Sales Before Discounts (€)</t>
        </is>
      </c>
      <c r="B3" s="5" t="n">
        <v>40155.94</v>
      </c>
      <c r="C3" s="5" t="n">
        <v>41317.16</v>
      </c>
      <c r="D3" s="5" t="n">
        <v>49479.29</v>
      </c>
      <c r="E3" s="5">
        <f>D3-B3</f>
        <v/>
      </c>
      <c r="F3" s="6">
        <f>IF(B3=0,"",(D3-B3)/B3)</f>
        <v/>
      </c>
      <c r="G3" s="5">
        <f>D3-C3</f>
        <v/>
      </c>
      <c r="H3" s="6">
        <f>IF(C3=0,"",(D3-C3)/C3)</f>
        <v/>
      </c>
    </row>
    <row r="4">
      <c r="A4" s="4" t="inlineStr">
        <is>
          <t>Sales After Discounts (€)</t>
        </is>
      </c>
      <c r="B4" s="5" t="n">
        <v>33082.64</v>
      </c>
      <c r="C4" s="5" t="n">
        <v>36698.97</v>
      </c>
      <c r="D4" s="5" t="n">
        <v>43099.57</v>
      </c>
      <c r="E4" s="5">
        <f>D4-B4</f>
        <v/>
      </c>
      <c r="F4" s="6">
        <f>IF(B4=0,"",(D4-B4)/B4)</f>
        <v/>
      </c>
      <c r="G4" s="5">
        <f>D4-C4</f>
        <v/>
      </c>
      <c r="H4" s="6">
        <f>IF(C4=0,"",(D4-C4)/C4)</f>
        <v/>
      </c>
    </row>
    <row r="5">
      <c r="A5" s="4" t="inlineStr">
        <is>
          <t>Completed Orders (#)</t>
        </is>
      </c>
      <c r="B5" s="5" t="n">
        <v>3145</v>
      </c>
      <c r="C5" s="5" t="n">
        <v>3166</v>
      </c>
      <c r="D5" s="5" t="n">
        <v>3688</v>
      </c>
      <c r="E5" s="5">
        <f>D5-B5</f>
        <v/>
      </c>
      <c r="F5" s="6">
        <f>IF(B5=0,"",(D5-B5)/B5)</f>
        <v/>
      </c>
      <c r="G5" s="5">
        <f>D5-C5</f>
        <v/>
      </c>
      <c r="H5" s="6">
        <f>IF(C5=0,"",(D5-C5)/C5)</f>
        <v/>
      </c>
    </row>
    <row r="6" ht="24" customHeight="1">
      <c r="A6" s="3" t="inlineStr">
        <is>
          <t>MARKETING SPEND (Hesburger investment only — excl. Bolt co-funding)</t>
        </is>
      </c>
      <c r="B6" s="3" t="n"/>
      <c r="C6" s="3" t="n"/>
      <c r="D6" s="3" t="n"/>
      <c r="E6" s="3" t="n"/>
      <c r="F6" s="3" t="n"/>
      <c r="G6" s="3" t="n"/>
      <c r="H6" s="3" t="n"/>
    </row>
    <row r="7">
      <c r="A7" s="4" t="inlineStr">
        <is>
          <t>Marketing Spend (€)</t>
        </is>
      </c>
      <c r="B7" s="5" t="n">
        <v>2278.75</v>
      </c>
      <c r="C7" s="5" t="n">
        <v>865.76</v>
      </c>
      <c r="D7" s="5" t="n">
        <v>703.85</v>
      </c>
      <c r="E7" s="5">
        <f>D7-B7</f>
        <v/>
      </c>
      <c r="F7" s="6">
        <f>IF(B7=0,"",(D7-B7)/B7)</f>
        <v/>
      </c>
      <c r="G7" s="5">
        <f>D7-C7</f>
        <v/>
      </c>
      <c r="H7" s="6">
        <f>IF(C7=0,"",(D7-C7)/C7)</f>
        <v/>
      </c>
    </row>
    <row r="8" ht="24" customHeight="1">
      <c r="A8" s="3" t="inlineStr">
        <is>
          <t>DELIVERY TIMES</t>
        </is>
      </c>
      <c r="B8" s="3" t="n"/>
      <c r="C8" s="3" t="n"/>
      <c r="D8" s="3" t="n"/>
      <c r="E8" s="3" t="n"/>
      <c r="F8" s="3" t="n"/>
      <c r="G8" s="3" t="n"/>
      <c r="H8" s="3" t="n"/>
    </row>
    <row r="9">
      <c r="A9" s="4" t="inlineStr">
        <is>
          <t>Avg. Total Delivery Time (mins)</t>
        </is>
      </c>
      <c r="B9" s="7" t="n">
        <v>28.6</v>
      </c>
      <c r="C9" s="7" t="n">
        <v>28.3</v>
      </c>
      <c r="D9" s="7" t="n">
        <v>28.1</v>
      </c>
      <c r="E9" s="7">
        <f>D9-B9</f>
        <v/>
      </c>
      <c r="F9" s="6">
        <f>IF(B9=0,"",(D9-B9)/B9)</f>
        <v/>
      </c>
      <c r="G9" s="7">
        <f>D9-C9</f>
        <v/>
      </c>
      <c r="H9" s="6">
        <f>IF(C9=0,"",(D9-C9)/C9)</f>
        <v/>
      </c>
    </row>
    <row r="10">
      <c r="A10" s="4" t="inlineStr">
        <is>
          <t>Avg. Restaurant Prep Time (mins)</t>
        </is>
      </c>
      <c r="B10" s="7" t="n">
        <v>8.699999999999999</v>
      </c>
      <c r="C10" s="7" t="n">
        <v>10.1</v>
      </c>
      <c r="D10" s="7" t="n">
        <v>10.1</v>
      </c>
      <c r="E10" s="7">
        <f>D10-B10</f>
        <v/>
      </c>
      <c r="F10" s="6">
        <f>IF(B10=0,"",(D10-B10)/B10)</f>
        <v/>
      </c>
      <c r="G10" s="7">
        <f>D10-C10</f>
        <v/>
      </c>
      <c r="H10" s="6">
        <f>IF(C10=0,"",(D10-C10)/C10)</f>
        <v/>
      </c>
    </row>
    <row r="11" ht="24" customHeight="1">
      <c r="A11" s="3" t="inlineStr">
        <is>
          <t>ORDER QUALITY — Customer Tickets</t>
        </is>
      </c>
      <c r="B11" s="3" t="n"/>
      <c r="C11" s="3" t="n"/>
      <c r="D11" s="3" t="n"/>
      <c r="E11" s="3" t="n"/>
      <c r="F11" s="3" t="n"/>
      <c r="G11" s="3" t="n"/>
      <c r="H11" s="3" t="n"/>
    </row>
    <row r="12">
      <c r="A12" s="4" t="inlineStr">
        <is>
          <t>Wrong &amp; Missing Items (#)</t>
        </is>
      </c>
      <c r="B12" s="5" t="n">
        <v>44</v>
      </c>
      <c r="C12" s="5" t="n">
        <v>38</v>
      </c>
      <c r="D12" s="5" t="n">
        <v>57</v>
      </c>
      <c r="E12" s="5">
        <f>D12-B12</f>
        <v/>
      </c>
      <c r="F12" s="6">
        <f>IF(B12=0,"",(D12-B12)/B12)</f>
        <v/>
      </c>
      <c r="G12" s="5">
        <f>D12-C12</f>
        <v/>
      </c>
      <c r="H12" s="6">
        <f>IF(C12=0,"",(D12-C12)/C12)</f>
        <v/>
      </c>
    </row>
    <row r="13">
      <c r="A13" s="4" t="inlineStr">
        <is>
          <t>Wrong &amp; Missing Items (% of customer tickets)</t>
        </is>
      </c>
      <c r="B13" s="8" t="n">
        <v>0.6027</v>
      </c>
      <c r="C13" s="8" t="n">
        <v>0.6667000000000001</v>
      </c>
      <c r="D13" s="8" t="n">
        <v>0.5089</v>
      </c>
      <c r="E13" s="8">
        <f>D13-B13</f>
        <v/>
      </c>
      <c r="F13" s="6">
        <f>IF(B13=0,"",(D13-B13)/B13)</f>
        <v/>
      </c>
      <c r="G13" s="8">
        <f>D13-C13</f>
        <v/>
      </c>
      <c r="H13" s="6">
        <f>IF(C13=0,"",(D13-C13)/C13)</f>
        <v/>
      </c>
    </row>
    <row r="14">
      <c r="A14" s="4" t="inlineStr">
        <is>
          <t>Drink Spills (#)</t>
        </is>
      </c>
      <c r="B14" s="5" t="n">
        <v>5</v>
      </c>
      <c r="C14" s="5" t="n">
        <v>1</v>
      </c>
      <c r="D14" s="5" t="n">
        <v>4</v>
      </c>
      <c r="E14" s="5">
        <f>D14-B14</f>
        <v/>
      </c>
      <c r="F14" s="6">
        <f>IF(B14=0,"",(D14-B14)/B14)</f>
        <v/>
      </c>
      <c r="G14" s="5">
        <f>D14-C14</f>
        <v/>
      </c>
      <c r="H14" s="6">
        <f>IF(C14=0,"",(D14-C14)/C14)</f>
        <v/>
      </c>
    </row>
    <row r="15">
      <c r="A15" s="4" t="inlineStr">
        <is>
          <t>Drink Spills (% of customer tickets)</t>
        </is>
      </c>
      <c r="B15" s="8" t="n">
        <v>0.1786</v>
      </c>
      <c r="C15" s="8" t="n">
        <v>0.04</v>
      </c>
      <c r="D15" s="8" t="n">
        <v>0.1143</v>
      </c>
      <c r="E15" s="8">
        <f>D15-B15</f>
        <v/>
      </c>
      <c r="F15" s="6">
        <f>IF(B15=0,"",(D15-B15)/B15)</f>
        <v/>
      </c>
      <c r="G15" s="8">
        <f>D15-C15</f>
        <v/>
      </c>
      <c r="H15" s="6">
        <f>IF(C15=0,"",(D15-C15)/C15)</f>
        <v/>
      </c>
    </row>
    <row r="16" ht="24" customHeight="1">
      <c r="A16" s="3" t="inlineStr">
        <is>
          <t>AVAILABILITY &amp; RATING</t>
        </is>
      </c>
      <c r="B16" s="3" t="n"/>
      <c r="C16" s="3" t="n"/>
      <c r="D16" s="3" t="n"/>
      <c r="E16" s="3" t="n"/>
      <c r="F16" s="3" t="n"/>
      <c r="G16" s="3" t="n"/>
      <c r="H16" s="3" t="n"/>
    </row>
    <row r="17">
      <c r="A17" s="4" t="inlineStr">
        <is>
          <t>Availability (%)</t>
        </is>
      </c>
      <c r="B17" s="6" t="n">
        <v>0.895</v>
      </c>
      <c r="C17" s="6" t="n">
        <v>0.894</v>
      </c>
      <c r="D17" s="6" t="n">
        <v>0.6940000000000001</v>
      </c>
      <c r="E17" s="6">
        <f>D17-B17</f>
        <v/>
      </c>
      <c r="F17" s="6">
        <f>IF(B17=0,"",(D17-B17)/B17)</f>
        <v/>
      </c>
      <c r="G17" s="6">
        <f>D17-C17</f>
        <v/>
      </c>
      <c r="H17" s="6">
        <f>IF(C17=0,"",(D17-C17)/C17)</f>
        <v/>
      </c>
    </row>
    <row r="18">
      <c r="A18" s="4" t="inlineStr">
        <is>
          <t>Avg. Rating (0–5)</t>
        </is>
      </c>
      <c r="B18" s="9" t="n">
        <v>4.63</v>
      </c>
      <c r="C18" s="9" t="n">
        <v>4.7</v>
      </c>
      <c r="D18" s="9" t="n">
        <v>4.62</v>
      </c>
      <c r="E18" s="9">
        <f>D18-B18</f>
        <v/>
      </c>
      <c r="F18" s="6">
        <f>IF(B18=0,"",(D18-B18)/B18)</f>
        <v/>
      </c>
      <c r="G18" s="9">
        <f>D18-C18</f>
        <v/>
      </c>
      <c r="H18" s="6">
        <f>IF(C18=0,"",(D18-C18)/C18)</f>
        <v/>
      </c>
    </row>
    <row r="19">
      <c r="A19" s="4" t="inlineStr">
        <is>
          <t>Review Count (#)</t>
        </is>
      </c>
      <c r="B19" s="5" t="n">
        <v>970</v>
      </c>
      <c r="C19" s="5" t="n">
        <v>956</v>
      </c>
      <c r="D19" s="5" t="n">
        <v>1127</v>
      </c>
      <c r="E19" s="5">
        <f>D19-B19</f>
        <v/>
      </c>
      <c r="F19" s="6">
        <f>IF(B19=0,"",(D19-B19)/B19)</f>
        <v/>
      </c>
      <c r="G19" s="5">
        <f>D19-C19</f>
        <v/>
      </c>
      <c r="H19" s="6">
        <f>IF(C19=0,"",(D19-C19)/C19)</f>
        <v/>
      </c>
    </row>
    <row r="20" ht="24" customHeight="1">
      <c r="A20" s="3" t="inlineStr">
        <is>
          <t>MENU &amp; CONVERSION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Impression Sessions (#)</t>
        </is>
      </c>
      <c r="B21" s="5" t="n">
        <v>100771</v>
      </c>
      <c r="C21" s="5" t="n">
        <v>124387</v>
      </c>
      <c r="D21" s="5" t="n">
        <v>143456</v>
      </c>
      <c r="E21" s="5">
        <f>D21-B21</f>
        <v/>
      </c>
      <c r="F21" s="6">
        <f>IF(B21=0,"",(D21-B21)/B21)</f>
        <v/>
      </c>
      <c r="G21" s="5">
        <f>D21-C21</f>
        <v/>
      </c>
      <c r="H21" s="6">
        <f>IF(C21=0,"",(D21-C21)/C21)</f>
        <v/>
      </c>
    </row>
    <row r="22">
      <c r="A22" s="4" t="inlineStr">
        <is>
          <t>Menu Views (#)</t>
        </is>
      </c>
      <c r="B22" s="5" t="n">
        <v>11619</v>
      </c>
      <c r="C22" s="5" t="n">
        <v>14161</v>
      </c>
      <c r="D22" s="5" t="n">
        <v>16939</v>
      </c>
      <c r="E22" s="5">
        <f>D22-B22</f>
        <v/>
      </c>
      <c r="F22" s="6">
        <f>IF(B22=0,"",(D22-B22)/B22)</f>
        <v/>
      </c>
      <c r="G22" s="5">
        <f>D22-C22</f>
        <v/>
      </c>
      <c r="H22" s="6">
        <f>IF(C22=0,"",(D22-C22)/C22)</f>
        <v/>
      </c>
    </row>
    <row r="23">
      <c r="A23" s="4" t="inlineStr">
        <is>
          <t>Impression → Menu View Conversion (%)</t>
        </is>
      </c>
      <c r="B23" s="8" t="n">
        <v>0.1153</v>
      </c>
      <c r="C23" s="8" t="n">
        <v>0.1138</v>
      </c>
      <c r="D23" s="8" t="n">
        <v>0.1181</v>
      </c>
      <c r="E23" s="8">
        <f>D23-B23</f>
        <v/>
      </c>
      <c r="F23" s="6">
        <f>IF(B23=0,"",(D23-B23)/B23)</f>
        <v/>
      </c>
      <c r="G23" s="8">
        <f>D23-C23</f>
        <v/>
      </c>
      <c r="H23" s="6">
        <f>IF(C23=0,"",(D23-C23)/C23)</f>
        <v/>
      </c>
    </row>
    <row r="24">
      <c r="A24" s="4" t="inlineStr">
        <is>
          <t>Menu View → Purchase Conversion (%)</t>
        </is>
      </c>
      <c r="B24" s="8" t="n">
        <v>0.182</v>
      </c>
      <c r="C24" s="8" t="n">
        <v>0.2097</v>
      </c>
      <c r="D24" s="8" t="n">
        <v>0.2054</v>
      </c>
      <c r="E24" s="8">
        <f>D24-B24</f>
        <v/>
      </c>
      <c r="F24" s="6">
        <f>IF(B24=0,"",(D24-B24)/B24)</f>
        <v/>
      </c>
      <c r="G24" s="8">
        <f>D24-C24</f>
        <v/>
      </c>
      <c r="H24" s="6">
        <f>IF(C24=0,"",(D24-C24)/C24)</f>
        <v/>
      </c>
    </row>
    <row r="26" ht="27" customHeight="1">
      <c r="A26" s="10" t="inlineStr">
        <is>
          <t>* Wrong &amp; Missing Items %: numerator = wrong/missing item rating highlights; denominator = all provider issue highlights.</t>
        </is>
      </c>
    </row>
    <row r="27" ht="27" customHeight="1">
      <c r="A27" s="10" t="inlineStr">
        <is>
          <t>* Drink Spills %: numerator = text reviews that mention both a drink and a spill/leak; denominator = all text reviews in the period. Matched reviews are listed on the “Drink Spill Reviews” sheet.</t>
        </is>
      </c>
    </row>
    <row r="28" ht="27" customHeight="1">
      <c r="A28" s="10" t="inlineStr">
        <is>
          <t>* Delivery, preparation, availability and funnel metrics use the same weekly aggregation logic as the previous report.</t>
        </is>
      </c>
    </row>
  </sheetData>
  <autoFilter ref="A1:H24"/>
  <mergeCells count="3">
    <mergeCell ref="A28:H28"/>
    <mergeCell ref="A27:H27"/>
    <mergeCell ref="A26:H26"/>
  </mergeCells>
  <conditionalFormatting sqref="F2:H24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34" customWidth="1" min="4" max="4"/>
    <col width="14" customWidth="1" min="5" max="5"/>
    <col width="10" customWidth="1" min="6" max="6"/>
    <col width="80" customWidth="1" min="7" max="7"/>
    <col width="14" customWidth="1" min="8" max="8"/>
  </cols>
  <sheetData>
    <row r="1">
      <c r="A1" s="11" t="inlineStr">
        <is>
          <t>Period</t>
        </is>
      </c>
      <c r="B1" s="11" t="inlineStr">
        <is>
          <t>Provider ID</t>
        </is>
      </c>
      <c r="C1" s="11" t="inlineStr">
        <is>
          <t>City</t>
        </is>
      </c>
      <c r="D1" s="11" t="inlineStr">
        <is>
          <t>Provider</t>
        </is>
      </c>
      <c r="E1" s="11" t="inlineStr">
        <is>
          <t>Created date</t>
        </is>
      </c>
      <c r="F1" s="11" t="inlineStr">
        <is>
          <t>Rating</t>
        </is>
      </c>
      <c r="G1" s="11" t="inlineStr">
        <is>
          <t>Comment</t>
        </is>
      </c>
      <c r="H1" s="11" t="inlineStr">
        <is>
          <t>Order ID</t>
        </is>
      </c>
    </row>
    <row r="2">
      <c r="A2" s="12" t="inlineStr">
        <is>
          <t>Q3 2025</t>
        </is>
      </c>
      <c r="B2" s="12" t="n">
        <v>98298</v>
      </c>
      <c r="C2" s="12" t="inlineStr">
        <is>
          <t>Boryspil</t>
        </is>
      </c>
      <c r="D2" s="12" t="inlineStr">
        <is>
          <t>Hesburger Київський Шлях</t>
        </is>
      </c>
      <c r="E2" s="12" t="inlineStr">
        <is>
          <t>2025-07-01</t>
        </is>
      </c>
      <c r="F2" s="12" t="n">
        <v>1</v>
      </c>
      <c r="G2" s="12" t="inlineStr">
        <is>
          <t xml:space="preserve">Разлитые напитки и плохо упакован 
</t>
        </is>
      </c>
      <c r="H2" s="12" t="n">
        <v>244802517</v>
      </c>
    </row>
    <row r="3">
      <c r="A3" s="12" t="inlineStr">
        <is>
          <t>Q3 2025</t>
        </is>
      </c>
      <c r="B3" s="12" t="n">
        <v>98280</v>
      </c>
      <c r="C3" s="12" t="inlineStr">
        <is>
          <t>Irpin</t>
        </is>
      </c>
      <c r="D3" s="12" t="inlineStr">
        <is>
          <t>Hesburger Шевченка</t>
        </is>
      </c>
      <c r="E3" s="12" t="inlineStr">
        <is>
          <t>2025-08-08</t>
        </is>
      </c>
      <c r="F3" s="12" t="n">
        <v>3</v>
      </c>
      <c r="G3" s="12" t="inlineStr">
        <is>
          <t xml:space="preserve">Напій вилився в пакет :(
Поклали маленьку колу в комплект </t>
        </is>
      </c>
      <c r="H3" s="12" t="n">
        <v>251698588</v>
      </c>
    </row>
    <row r="4">
      <c r="A4" s="12" t="inlineStr">
        <is>
          <t>Q3 2025</t>
        </is>
      </c>
      <c r="B4" s="12" t="n">
        <v>98298</v>
      </c>
      <c r="C4" s="12" t="inlineStr">
        <is>
          <t>Boryspil</t>
        </is>
      </c>
      <c r="D4" s="12" t="inlineStr">
        <is>
          <t>Hesburger Київський Шлях</t>
        </is>
      </c>
      <c r="E4" s="12" t="inlineStr">
        <is>
          <t>2025-08-09</t>
        </is>
      </c>
      <c r="F4" s="12" t="n">
        <v>4</v>
      </c>
      <c r="G4" s="12" t="inlineStr">
        <is>
          <t xml:space="preserve">Потікла кола </t>
        </is>
      </c>
      <c r="H4" s="12" t="n">
        <v>251950221</v>
      </c>
    </row>
    <row r="5">
      <c r="A5" s="12" t="inlineStr">
        <is>
          <t>Q3 2025</t>
        </is>
      </c>
      <c r="B5" s="12" t="n">
        <v>98397</v>
      </c>
      <c r="C5" s="12" t="inlineStr">
        <is>
          <t>Kyiv</t>
        </is>
      </c>
      <c r="D5" s="12" t="inlineStr">
        <is>
          <t>Hesburger вул. Здолбунівська</t>
        </is>
      </c>
      <c r="E5" s="12" t="inlineStr">
        <is>
          <t>2025-08-13</t>
        </is>
      </c>
      <c r="F5" s="12" t="n">
        <v>2</v>
      </c>
      <c r="G5" s="12" t="inlineStr">
        <is>
          <t>разлита кола</t>
        </is>
      </c>
      <c r="H5" s="12" t="n">
        <v>252620225</v>
      </c>
    </row>
    <row r="6">
      <c r="A6" s="12" t="inlineStr">
        <is>
          <t>Q3 2025</t>
        </is>
      </c>
      <c r="B6" s="12" t="n">
        <v>98298</v>
      </c>
      <c r="C6" s="12" t="inlineStr">
        <is>
          <t>Boryspil</t>
        </is>
      </c>
      <c r="D6" s="12" t="inlineStr">
        <is>
          <t>Hesburger Київський Шлях</t>
        </is>
      </c>
      <c r="E6" s="12" t="inlineStr">
        <is>
          <t>2025-08-23</t>
        </is>
      </c>
      <c r="F6" s="12" t="n">
        <v>1</v>
      </c>
      <c r="G6" s="12" t="inlineStr">
        <is>
          <t xml:space="preserve">Розлита кава </t>
        </is>
      </c>
      <c r="H6" s="12" t="n">
        <v>254463842</v>
      </c>
    </row>
    <row r="7">
      <c r="A7" s="12" t="inlineStr">
        <is>
          <t>Q2 2026</t>
        </is>
      </c>
      <c r="B7" s="12" t="n">
        <v>98399</v>
      </c>
      <c r="C7" s="12" t="inlineStr">
        <is>
          <t>Brovary</t>
        </is>
      </c>
      <c r="D7" s="12" t="inlineStr">
        <is>
          <t>Hesburger вул. Київська</t>
        </is>
      </c>
      <c r="E7" s="12" t="inlineStr">
        <is>
          <t>2026-06-26</t>
        </is>
      </c>
      <c r="F7" s="12" t="n">
        <v>3</v>
      </c>
      <c r="G7" s="12" t="inlineStr">
        <is>
          <t xml:space="preserve">Пролилась кава повністю </t>
        </is>
      </c>
      <c r="H7" s="12" t="n">
        <v>315363506</v>
      </c>
    </row>
    <row r="8">
      <c r="A8" s="12" t="inlineStr">
        <is>
          <t>Q3 2026</t>
        </is>
      </c>
      <c r="B8" s="12" t="n">
        <v>98298</v>
      </c>
      <c r="C8" s="12" t="inlineStr">
        <is>
          <t>Boryspil</t>
        </is>
      </c>
      <c r="D8" s="12" t="inlineStr">
        <is>
          <t>Hesburger Київський Шлях</t>
        </is>
      </c>
      <c r="E8" s="12" t="inlineStr">
        <is>
          <t>2026-07-05</t>
        </is>
      </c>
      <c r="F8" s="12" t="n">
        <v>5</v>
      </c>
      <c r="G8" s="12" t="inlineStr">
        <is>
          <t xml:space="preserve">Кола немного розлилась🥲 </t>
        </is>
      </c>
      <c r="H8" s="12" t="n">
        <v>317363452</v>
      </c>
    </row>
    <row r="9">
      <c r="A9" s="12" t="inlineStr">
        <is>
          <t>Q3 2026</t>
        </is>
      </c>
      <c r="B9" s="12" t="n">
        <v>98398</v>
      </c>
      <c r="C9" s="12" t="inlineStr">
        <is>
          <t>Kyiv</t>
        </is>
      </c>
      <c r="D9" s="12" t="inlineStr">
        <is>
          <t>Hesburger Вишневе</t>
        </is>
      </c>
      <c r="E9" s="12" t="inlineStr">
        <is>
          <t>2026-08-20</t>
        </is>
      </c>
      <c r="F9" s="12" t="n">
        <v>1</v>
      </c>
      <c r="G9" s="12" t="inlineStr">
        <is>
          <t>1)напої не закриті повністю, розлились в пакуванні. 
2)в замовленні було вказано  дві фанти і 3 коли, приїхала вся кола?</t>
        </is>
      </c>
      <c r="H9" s="12" t="n">
        <v>326777665</v>
      </c>
    </row>
    <row r="10">
      <c r="A10" s="12" t="inlineStr">
        <is>
          <t>Q3 2026</t>
        </is>
      </c>
      <c r="B10" s="12" t="n">
        <v>98329</v>
      </c>
      <c r="C10" s="12" t="inlineStr">
        <is>
          <t>Kyiv</t>
        </is>
      </c>
      <c r="D10" s="12" t="inlineStr">
        <is>
          <t>Hesburger Павла Полуботка</t>
        </is>
      </c>
      <c r="E10" s="12" t="inlineStr">
        <is>
          <t>2026-08-27</t>
        </is>
      </c>
      <c r="F10" s="12" t="n">
        <v>1</v>
      </c>
      <c r="G10" s="12" t="inlineStr">
        <is>
          <t xml:space="preserve">Пакет з напоями був мокрий, поки відкривал двері він розваливался, в результаті напої на підлозі </t>
        </is>
      </c>
      <c r="H10" s="12" t="n">
        <v>328258862</v>
      </c>
    </row>
    <row r="11">
      <c r="A11" s="12" t="inlineStr">
        <is>
          <t>Q3 2026</t>
        </is>
      </c>
      <c r="B11" s="12" t="n">
        <v>98399</v>
      </c>
      <c r="C11" s="12" t="inlineStr">
        <is>
          <t>Brovary</t>
        </is>
      </c>
      <c r="D11" s="12" t="inlineStr">
        <is>
          <t>Hesburger вул. Київська</t>
        </is>
      </c>
      <c r="E11" s="12" t="inlineStr">
        <is>
          <t>2026-09-21</t>
        </is>
      </c>
      <c r="F11" s="12" t="n">
        <v>3</v>
      </c>
      <c r="G11" s="12" t="inlineStr">
        <is>
          <t>Напій влився ро дорозі і размокла упаковка з їжею</t>
        </is>
      </c>
      <c r="H11" s="12" t="n">
        <v>333582366</v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</cols>
  <sheetData>
    <row r="1">
      <c r="A1" s="13" t="inlineStr">
        <is>
          <t>Provider ID</t>
        </is>
      </c>
      <c r="B1" s="13" t="inlineStr">
        <is>
          <t>City</t>
        </is>
      </c>
      <c r="C1" s="13" t="inlineStr">
        <is>
          <t>Provider</t>
        </is>
      </c>
    </row>
    <row r="2">
      <c r="A2" s="14" t="n">
        <v>98398</v>
      </c>
      <c r="B2" s="14" t="inlineStr">
        <is>
          <t>Kyiv</t>
        </is>
      </c>
      <c r="C2" s="14" t="inlineStr">
        <is>
          <t>Hesburger Вишневе</t>
        </is>
      </c>
    </row>
    <row r="3">
      <c r="A3" s="14" t="n">
        <v>98329</v>
      </c>
      <c r="B3" s="14" t="inlineStr">
        <is>
          <t>Kyiv</t>
        </is>
      </c>
      <c r="C3" s="14" t="inlineStr">
        <is>
          <t>Hesburger Павла Полуботка</t>
        </is>
      </c>
    </row>
    <row r="4">
      <c r="A4" s="14" t="n">
        <v>98397</v>
      </c>
      <c r="B4" s="14" t="inlineStr">
        <is>
          <t>Kyiv</t>
        </is>
      </c>
      <c r="C4" s="14" t="inlineStr">
        <is>
          <t>Hesburger вул. Здолбунівська</t>
        </is>
      </c>
    </row>
    <row r="5">
      <c r="A5" s="14" t="n">
        <v>98399</v>
      </c>
      <c r="B5" s="14" t="inlineStr">
        <is>
          <t>Brovary</t>
        </is>
      </c>
      <c r="C5" s="14" t="inlineStr">
        <is>
          <t>Hesburger вул. Київська</t>
        </is>
      </c>
    </row>
    <row r="6">
      <c r="A6" s="14" t="n">
        <v>98280</v>
      </c>
      <c r="B6" s="14" t="inlineStr">
        <is>
          <t>Irpin</t>
        </is>
      </c>
      <c r="C6" s="14" t="inlineStr">
        <is>
          <t>Hesburger Шевченка</t>
        </is>
      </c>
    </row>
    <row r="7">
      <c r="A7" s="14" t="n">
        <v>98298</v>
      </c>
      <c r="B7" s="14" t="inlineStr">
        <is>
          <t>Boryspil</t>
        </is>
      </c>
      <c r="C7" s="14" t="inlineStr">
        <is>
          <t>Hesburger Київський Шлях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2026-10-05T09:40:08Z</dcterms:created>
  <dcterms:modified xmlns:dcterms="http://purl.org/dc/terms/" xmlns:xsi="http://www.w3.org/2001/XMLSchema-instance" xsi:type="dcterms:W3CDTF">2026-10-05T09:40:08Z</dcterms:modified>
</cp:coreProperties>
</file>